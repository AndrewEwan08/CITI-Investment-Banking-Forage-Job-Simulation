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 1" sheetId="1" state="visible" r:id="rId3"/>
  </sheets>
  <definedNames>
    <definedName function="false" hidden="false" localSheetId="0" name="_xlnm.Print_Area" vbProcedure="false">'Step 1'!$A$1:$P$46</definedName>
    <definedName function="false" hidden="false" localSheetId="0" name="_xlnm.Print_Titles" vbProcedure="false">'Step 1'!$1:$1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NAMES_REVISION_DATE_" vbProcedure="false">40884.672337963</definedName>
    <definedName function="false" hidden="true" name="IQ_NTM" vbProcedure="false">6000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<sst xmlns="http://schemas.openxmlformats.org/spreadsheetml/2006/main" count="33" uniqueCount="31">
  <si>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Income Statement</t>
  </si>
  <si>
    <t xml:space="preserve">($ in millions)</t>
  </si>
  <si>
    <t xml:space="preserve">Actual</t>
  </si>
  <si>
    <t xml:space="preserve">Projected</t>
  </si>
  <si>
    <t xml:space="preserve">Revenues</t>
  </si>
  <si>
    <t xml:space="preserve">Less: COGS (Excl. Depreciation)</t>
  </si>
  <si>
    <t xml:space="preserve">Gross Profit</t>
  </si>
  <si>
    <t xml:space="preserve">Margin %</t>
  </si>
  <si>
    <t xml:space="preserve">Less: Sales, General &amp; Administration  Expenses (excl. Amortization)</t>
  </si>
  <si>
    <t xml:space="preserve">EBITDA</t>
  </si>
  <si>
    <t xml:space="preserve">Less: Depreciation </t>
  </si>
  <si>
    <t xml:space="preserve">Less: Amortization</t>
  </si>
  <si>
    <t xml:space="preserve">EBIT</t>
  </si>
  <si>
    <t xml:space="preserve">Less: Interest (expense) / income</t>
  </si>
  <si>
    <t xml:space="preserve">Pre-Tax Income</t>
  </si>
  <si>
    <t xml:space="preserve">Less: Taxes</t>
  </si>
  <si>
    <t xml:space="preserve">Tax Rate %</t>
  </si>
  <si>
    <t xml:space="preserve">Net Income</t>
  </si>
  <si>
    <t xml:space="preserve">Income Statement Drivers</t>
  </si>
  <si>
    <t xml:space="preserve">Revenue Growth</t>
  </si>
  <si>
    <t xml:space="preserve">COGS as a % Revenue</t>
  </si>
  <si>
    <t xml:space="preserve">SG&amp;A Expenses as a % Revenue</t>
  </si>
  <si>
    <t xml:space="preserve">Depreciation as a % Revenue</t>
  </si>
  <si>
    <t xml:space="preserve">Amortization</t>
  </si>
  <si>
    <t xml:space="preserve">Interest Expense</t>
  </si>
  <si>
    <t xml:space="preserve">Sources &amp; Notes:</t>
  </si>
  <si>
    <t xml:space="preserve">2022A Revenue, COGS (Cost of sales), and SG&amp;A: Best Buy FY22 Annual Report (10-K), Consolidated Statements of Earnings, fiscal year ended January 29, 2022.</t>
  </si>
  <si>
    <t xml:space="preserve">  Revenue $51,761mm; Cost of sales $40,121mm; SG&amp;A $8,635mm.</t>
  </si>
  <si>
    <t xml:space="preserve">2022A Depreciation ($787mm), Amortization ($82mm), and Interest expense ($25mm) per user-provided assumptions (also ties to FY22 Annual Report Note on total depreciation and Consolidated Statements of Earnings interest expense).</t>
  </si>
  <si>
    <t xml:space="preserve">Revenue growth, COGS %, SG&amp;A %, Depreciation %, Amortization $, Interest $, and Tax Rate for the projected period (2023P-2027P) are all user-provided assumptions, not sourced figures.</t>
  </si>
  <si>
    <t xml:space="preserve">COGS % Revenue and SG&amp;A % Revenue are assumed to decline linearly, in equal steps, from the stated starting point in 2023P to the stated ending point in 2027P.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</si>
</sst>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\A"/>
    <numFmt numFmtId="166" formatCode="General\P"/>
    <numFmt numFmtId="167" formatCode="\$#,##0.0_);&quot;($&quot;#,##0.0\)"/>
    <numFmt numFmtId="168" formatCode="#,##0.0_);\(#,##0.0\)"/>
    <numFmt numFmtId="169" formatCode="#,##0.0%_);\(#,##0.0%\)"/>
    <numFmt numFmtId="170" formatCode="\$#,##0.0000_);&quot;($&quot;#,##0.0000\)"/>
    <numFmt numFmtId="171" formatCode="0%"/>
    <numFmt numFmtId="172" formatCode="0.0%"/>
    <numFmt numFmtId="173" formatCode="0.00%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0000FF"/>
        <bgColor rgb="FF0000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true"/>
  </sheetPr>
  <dimension ref="C2:N4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2" min="1" style="1" width="1.71"/>
    <col collapsed="false" customWidth="true" hidden="false" outlineLevel="0" max="7" min="7" style="1" width="3.71"/>
    <col collapsed="false" customWidth="true" hidden="false" outlineLevel="0" max="14" min="9" style="1" width="15.71"/>
    <col collapsed="false" customWidth="true" hidden="false" outlineLevel="0" max="17" min="15" style="1" width="1.71"/>
    <col collapsed="false" customWidth="true" hidden="false" outlineLevel="0" max="251" min="250" style="1" width="1.71"/>
    <col collapsed="false" customWidth="true" hidden="false" outlineLevel="0" max="256" min="256" style="1" width="3.71"/>
    <col collapsed="false" customWidth="true" hidden="true" outlineLevel="0" max="263" min="258" style="1" width="13"/>
    <col collapsed="false" customWidth="true" hidden="false" outlineLevel="0" max="269" min="264" style="1" width="15.71"/>
    <col collapsed="false" customWidth="true" hidden="true" outlineLevel="0" max="270" min="270" style="1" width="13"/>
    <col collapsed="false" customWidth="true" hidden="false" outlineLevel="0" max="273" min="271" style="1" width="1.71"/>
    <col collapsed="false" customWidth="true" hidden="false" outlineLevel="0" max="507" min="506" style="1" width="1.71"/>
    <col collapsed="false" customWidth="true" hidden="false" outlineLevel="0" max="512" min="512" style="1" width="3.71"/>
    <col collapsed="false" customWidth="true" hidden="true" outlineLevel="0" max="519" min="514" style="1" width="13"/>
    <col collapsed="false" customWidth="true" hidden="false" outlineLevel="0" max="525" min="520" style="1" width="15.71"/>
    <col collapsed="false" customWidth="true" hidden="true" outlineLevel="0" max="526" min="526" style="1" width="13"/>
    <col collapsed="false" customWidth="true" hidden="false" outlineLevel="0" max="529" min="527" style="1" width="1.71"/>
    <col collapsed="false" customWidth="true" hidden="false" outlineLevel="0" max="763" min="762" style="1" width="1.71"/>
    <col collapsed="false" customWidth="true" hidden="false" outlineLevel="0" max="768" min="768" style="1" width="3.71"/>
    <col collapsed="false" customWidth="true" hidden="true" outlineLevel="0" max="775" min="770" style="1" width="13"/>
    <col collapsed="false" customWidth="true" hidden="false" outlineLevel="0" max="781" min="776" style="1" width="15.71"/>
    <col collapsed="false" customWidth="true" hidden="true" outlineLevel="0" max="782" min="782" style="1" width="13"/>
    <col collapsed="false" customWidth="true" hidden="false" outlineLevel="0" max="785" min="783" style="1" width="1.71"/>
    <col collapsed="false" customWidth="true" hidden="false" outlineLevel="0" max="1019" min="1018" style="1" width="1.71"/>
    <col collapsed="false" customWidth="true" hidden="false" outlineLevel="0" max="1024" min="1024" style="1" width="3.71"/>
    <col collapsed="false" customWidth="true" hidden="true" outlineLevel="0" max="1031" min="1026" style="1" width="13"/>
    <col collapsed="false" customWidth="true" hidden="false" outlineLevel="0" max="1037" min="1032" style="1" width="15.71"/>
    <col collapsed="false" customWidth="true" hidden="true" outlineLevel="0" max="1038" min="1038" style="1" width="13"/>
    <col collapsed="false" customWidth="true" hidden="false" outlineLevel="0" max="1041" min="1039" style="1" width="1.71"/>
    <col collapsed="false" customWidth="true" hidden="false" outlineLevel="0" max="1275" min="1274" style="1" width="1.71"/>
    <col collapsed="false" customWidth="true" hidden="false" outlineLevel="0" max="1280" min="1280" style="1" width="3.71"/>
    <col collapsed="false" customWidth="true" hidden="true" outlineLevel="0" max="1287" min="1282" style="1" width="13"/>
    <col collapsed="false" customWidth="true" hidden="false" outlineLevel="0" max="1293" min="1288" style="1" width="15.71"/>
    <col collapsed="false" customWidth="true" hidden="true" outlineLevel="0" max="1294" min="1294" style="1" width="13"/>
    <col collapsed="false" customWidth="true" hidden="false" outlineLevel="0" max="1297" min="1295" style="1" width="1.71"/>
    <col collapsed="false" customWidth="true" hidden="false" outlineLevel="0" max="1531" min="1530" style="1" width="1.71"/>
    <col collapsed="false" customWidth="true" hidden="false" outlineLevel="0" max="1536" min="1536" style="1" width="3.71"/>
    <col collapsed="false" customWidth="true" hidden="true" outlineLevel="0" max="1543" min="1538" style="1" width="13"/>
    <col collapsed="false" customWidth="true" hidden="false" outlineLevel="0" max="1549" min="1544" style="1" width="15.71"/>
    <col collapsed="false" customWidth="true" hidden="true" outlineLevel="0" max="1550" min="1550" style="1" width="13"/>
    <col collapsed="false" customWidth="true" hidden="false" outlineLevel="0" max="1553" min="1551" style="1" width="1.71"/>
    <col collapsed="false" customWidth="true" hidden="false" outlineLevel="0" max="1787" min="1786" style="1" width="1.71"/>
    <col collapsed="false" customWidth="true" hidden="false" outlineLevel="0" max="1792" min="1792" style="1" width="3.71"/>
    <col collapsed="false" customWidth="true" hidden="true" outlineLevel="0" max="1799" min="1794" style="1" width="13"/>
    <col collapsed="false" customWidth="true" hidden="false" outlineLevel="0" max="1805" min="1800" style="1" width="15.71"/>
    <col collapsed="false" customWidth="true" hidden="true" outlineLevel="0" max="1806" min="1806" style="1" width="13"/>
    <col collapsed="false" customWidth="true" hidden="false" outlineLevel="0" max="1809" min="1807" style="1" width="1.71"/>
    <col collapsed="false" customWidth="true" hidden="false" outlineLevel="0" max="2043" min="2042" style="1" width="1.71"/>
    <col collapsed="false" customWidth="true" hidden="false" outlineLevel="0" max="2048" min="2048" style="1" width="3.71"/>
    <col collapsed="false" customWidth="true" hidden="true" outlineLevel="0" max="2055" min="2050" style="1" width="13"/>
    <col collapsed="false" customWidth="true" hidden="false" outlineLevel="0" max="2061" min="2056" style="1" width="15.71"/>
    <col collapsed="false" customWidth="true" hidden="true" outlineLevel="0" max="2062" min="2062" style="1" width="13"/>
    <col collapsed="false" customWidth="true" hidden="false" outlineLevel="0" max="2065" min="2063" style="1" width="1.71"/>
    <col collapsed="false" customWidth="true" hidden="false" outlineLevel="0" max="2299" min="2298" style="1" width="1.71"/>
    <col collapsed="false" customWidth="true" hidden="false" outlineLevel="0" max="2304" min="2304" style="1" width="3.71"/>
    <col collapsed="false" customWidth="true" hidden="true" outlineLevel="0" max="2311" min="2306" style="1" width="13"/>
    <col collapsed="false" customWidth="true" hidden="false" outlineLevel="0" max="2317" min="2312" style="1" width="15.71"/>
    <col collapsed="false" customWidth="true" hidden="true" outlineLevel="0" max="2318" min="2318" style="1" width="13"/>
    <col collapsed="false" customWidth="true" hidden="false" outlineLevel="0" max="2321" min="2319" style="1" width="1.71"/>
    <col collapsed="false" customWidth="true" hidden="false" outlineLevel="0" max="2555" min="2554" style="1" width="1.71"/>
    <col collapsed="false" customWidth="true" hidden="false" outlineLevel="0" max="2560" min="2560" style="1" width="3.71"/>
    <col collapsed="false" customWidth="true" hidden="true" outlineLevel="0" max="2567" min="2562" style="1" width="13"/>
    <col collapsed="false" customWidth="true" hidden="false" outlineLevel="0" max="2573" min="2568" style="1" width="15.71"/>
    <col collapsed="false" customWidth="true" hidden="true" outlineLevel="0" max="2574" min="2574" style="1" width="13"/>
    <col collapsed="false" customWidth="true" hidden="false" outlineLevel="0" max="2577" min="2575" style="1" width="1.71"/>
    <col collapsed="false" customWidth="true" hidden="false" outlineLevel="0" max="2811" min="2810" style="1" width="1.71"/>
    <col collapsed="false" customWidth="true" hidden="false" outlineLevel="0" max="2816" min="2816" style="1" width="3.71"/>
    <col collapsed="false" customWidth="true" hidden="true" outlineLevel="0" max="2823" min="2818" style="1" width="13"/>
    <col collapsed="false" customWidth="true" hidden="false" outlineLevel="0" max="2829" min="2824" style="1" width="15.71"/>
    <col collapsed="false" customWidth="true" hidden="true" outlineLevel="0" max="2830" min="2830" style="1" width="13"/>
    <col collapsed="false" customWidth="true" hidden="false" outlineLevel="0" max="2833" min="2831" style="1" width="1.71"/>
    <col collapsed="false" customWidth="true" hidden="false" outlineLevel="0" max="3067" min="3066" style="1" width="1.71"/>
    <col collapsed="false" customWidth="true" hidden="false" outlineLevel="0" max="3072" min="3072" style="1" width="3.71"/>
    <col collapsed="false" customWidth="true" hidden="true" outlineLevel="0" max="3079" min="3074" style="1" width="13"/>
    <col collapsed="false" customWidth="true" hidden="false" outlineLevel="0" max="3085" min="3080" style="1" width="15.71"/>
    <col collapsed="false" customWidth="true" hidden="true" outlineLevel="0" max="3086" min="3086" style="1" width="13"/>
    <col collapsed="false" customWidth="true" hidden="false" outlineLevel="0" max="3089" min="3087" style="1" width="1.71"/>
    <col collapsed="false" customWidth="true" hidden="false" outlineLevel="0" max="3323" min="3322" style="1" width="1.71"/>
    <col collapsed="false" customWidth="true" hidden="false" outlineLevel="0" max="3328" min="3328" style="1" width="3.71"/>
    <col collapsed="false" customWidth="true" hidden="true" outlineLevel="0" max="3335" min="3330" style="1" width="13"/>
    <col collapsed="false" customWidth="true" hidden="false" outlineLevel="0" max="3341" min="3336" style="1" width="15.71"/>
    <col collapsed="false" customWidth="true" hidden="true" outlineLevel="0" max="3342" min="3342" style="1" width="13"/>
    <col collapsed="false" customWidth="true" hidden="false" outlineLevel="0" max="3345" min="3343" style="1" width="1.71"/>
    <col collapsed="false" customWidth="true" hidden="false" outlineLevel="0" max="3579" min="3578" style="1" width="1.71"/>
    <col collapsed="false" customWidth="true" hidden="false" outlineLevel="0" max="3584" min="3584" style="1" width="3.71"/>
    <col collapsed="false" customWidth="true" hidden="true" outlineLevel="0" max="3591" min="3586" style="1" width="13"/>
    <col collapsed="false" customWidth="true" hidden="false" outlineLevel="0" max="3597" min="3592" style="1" width="15.71"/>
    <col collapsed="false" customWidth="true" hidden="true" outlineLevel="0" max="3598" min="3598" style="1" width="13"/>
    <col collapsed="false" customWidth="true" hidden="false" outlineLevel="0" max="3601" min="3599" style="1" width="1.71"/>
    <col collapsed="false" customWidth="true" hidden="false" outlineLevel="0" max="3835" min="3834" style="1" width="1.71"/>
    <col collapsed="false" customWidth="true" hidden="false" outlineLevel="0" max="3840" min="3840" style="1" width="3.71"/>
    <col collapsed="false" customWidth="true" hidden="true" outlineLevel="0" max="3847" min="3842" style="1" width="13"/>
    <col collapsed="false" customWidth="true" hidden="false" outlineLevel="0" max="3853" min="3848" style="1" width="15.71"/>
    <col collapsed="false" customWidth="true" hidden="true" outlineLevel="0" max="3854" min="3854" style="1" width="13"/>
    <col collapsed="false" customWidth="true" hidden="false" outlineLevel="0" max="3857" min="3855" style="1" width="1.71"/>
    <col collapsed="false" customWidth="true" hidden="false" outlineLevel="0" max="4091" min="4090" style="1" width="1.71"/>
    <col collapsed="false" customWidth="true" hidden="false" outlineLevel="0" max="4096" min="4096" style="1" width="3.71"/>
    <col collapsed="false" customWidth="true" hidden="true" outlineLevel="0" max="4103" min="4098" style="1" width="13"/>
    <col collapsed="false" customWidth="true" hidden="false" outlineLevel="0" max="4109" min="4104" style="1" width="15.71"/>
    <col collapsed="false" customWidth="true" hidden="true" outlineLevel="0" max="4110" min="4110" style="1" width="13"/>
    <col collapsed="false" customWidth="true" hidden="false" outlineLevel="0" max="4113" min="4111" style="1" width="1.71"/>
    <col collapsed="false" customWidth="true" hidden="false" outlineLevel="0" max="4347" min="4346" style="1" width="1.71"/>
    <col collapsed="false" customWidth="true" hidden="false" outlineLevel="0" max="4352" min="4352" style="1" width="3.71"/>
    <col collapsed="false" customWidth="true" hidden="true" outlineLevel="0" max="4359" min="4354" style="1" width="13"/>
    <col collapsed="false" customWidth="true" hidden="false" outlineLevel="0" max="4365" min="4360" style="1" width="15.71"/>
    <col collapsed="false" customWidth="true" hidden="true" outlineLevel="0" max="4366" min="4366" style="1" width="13"/>
    <col collapsed="false" customWidth="true" hidden="false" outlineLevel="0" max="4369" min="4367" style="1" width="1.71"/>
    <col collapsed="false" customWidth="true" hidden="false" outlineLevel="0" max="4603" min="4602" style="1" width="1.71"/>
    <col collapsed="false" customWidth="true" hidden="false" outlineLevel="0" max="4608" min="4608" style="1" width="3.71"/>
    <col collapsed="false" customWidth="true" hidden="true" outlineLevel="0" max="4615" min="4610" style="1" width="13"/>
    <col collapsed="false" customWidth="true" hidden="false" outlineLevel="0" max="4621" min="4616" style="1" width="15.71"/>
    <col collapsed="false" customWidth="true" hidden="true" outlineLevel="0" max="4622" min="4622" style="1" width="13"/>
    <col collapsed="false" customWidth="true" hidden="false" outlineLevel="0" max="4625" min="4623" style="1" width="1.71"/>
    <col collapsed="false" customWidth="true" hidden="false" outlineLevel="0" max="4859" min="4858" style="1" width="1.71"/>
    <col collapsed="false" customWidth="true" hidden="false" outlineLevel="0" max="4864" min="4864" style="1" width="3.71"/>
    <col collapsed="false" customWidth="true" hidden="true" outlineLevel="0" max="4871" min="4866" style="1" width="13"/>
    <col collapsed="false" customWidth="true" hidden="false" outlineLevel="0" max="4877" min="4872" style="1" width="15.71"/>
    <col collapsed="false" customWidth="true" hidden="true" outlineLevel="0" max="4878" min="4878" style="1" width="13"/>
    <col collapsed="false" customWidth="true" hidden="false" outlineLevel="0" max="4881" min="4879" style="1" width="1.71"/>
    <col collapsed="false" customWidth="true" hidden="false" outlineLevel="0" max="5115" min="5114" style="1" width="1.71"/>
    <col collapsed="false" customWidth="true" hidden="false" outlineLevel="0" max="5120" min="5120" style="1" width="3.71"/>
    <col collapsed="false" customWidth="true" hidden="true" outlineLevel="0" max="5127" min="5122" style="1" width="13"/>
    <col collapsed="false" customWidth="true" hidden="false" outlineLevel="0" max="5133" min="5128" style="1" width="15.71"/>
    <col collapsed="false" customWidth="true" hidden="true" outlineLevel="0" max="5134" min="5134" style="1" width="13"/>
    <col collapsed="false" customWidth="true" hidden="false" outlineLevel="0" max="5137" min="5135" style="1" width="1.71"/>
    <col collapsed="false" customWidth="true" hidden="false" outlineLevel="0" max="5371" min="5370" style="1" width="1.71"/>
    <col collapsed="false" customWidth="true" hidden="false" outlineLevel="0" max="5376" min="5376" style="1" width="3.71"/>
    <col collapsed="false" customWidth="true" hidden="true" outlineLevel="0" max="5383" min="5378" style="1" width="13"/>
    <col collapsed="false" customWidth="true" hidden="false" outlineLevel="0" max="5389" min="5384" style="1" width="15.71"/>
    <col collapsed="false" customWidth="true" hidden="true" outlineLevel="0" max="5390" min="5390" style="1" width="13"/>
    <col collapsed="false" customWidth="true" hidden="false" outlineLevel="0" max="5393" min="5391" style="1" width="1.71"/>
    <col collapsed="false" customWidth="true" hidden="false" outlineLevel="0" max="5627" min="5626" style="1" width="1.71"/>
    <col collapsed="false" customWidth="true" hidden="false" outlineLevel="0" max="5632" min="5632" style="1" width="3.71"/>
    <col collapsed="false" customWidth="true" hidden="true" outlineLevel="0" max="5639" min="5634" style="1" width="13"/>
    <col collapsed="false" customWidth="true" hidden="false" outlineLevel="0" max="5645" min="5640" style="1" width="15.71"/>
    <col collapsed="false" customWidth="true" hidden="true" outlineLevel="0" max="5646" min="5646" style="1" width="13"/>
    <col collapsed="false" customWidth="true" hidden="false" outlineLevel="0" max="5649" min="5647" style="1" width="1.71"/>
    <col collapsed="false" customWidth="true" hidden="false" outlineLevel="0" max="5883" min="5882" style="1" width="1.71"/>
    <col collapsed="false" customWidth="true" hidden="false" outlineLevel="0" max="5888" min="5888" style="1" width="3.71"/>
    <col collapsed="false" customWidth="true" hidden="true" outlineLevel="0" max="5895" min="5890" style="1" width="13"/>
    <col collapsed="false" customWidth="true" hidden="false" outlineLevel="0" max="5901" min="5896" style="1" width="15.71"/>
    <col collapsed="false" customWidth="true" hidden="true" outlineLevel="0" max="5902" min="5902" style="1" width="13"/>
    <col collapsed="false" customWidth="true" hidden="false" outlineLevel="0" max="5905" min="5903" style="1" width="1.71"/>
    <col collapsed="false" customWidth="true" hidden="false" outlineLevel="0" max="6139" min="6138" style="1" width="1.71"/>
    <col collapsed="false" customWidth="true" hidden="false" outlineLevel="0" max="6144" min="6144" style="1" width="3.71"/>
    <col collapsed="false" customWidth="true" hidden="true" outlineLevel="0" max="6151" min="6146" style="1" width="13"/>
    <col collapsed="false" customWidth="true" hidden="false" outlineLevel="0" max="6157" min="6152" style="1" width="15.71"/>
    <col collapsed="false" customWidth="true" hidden="true" outlineLevel="0" max="6158" min="6158" style="1" width="13"/>
    <col collapsed="false" customWidth="true" hidden="false" outlineLevel="0" max="6161" min="6159" style="1" width="1.71"/>
    <col collapsed="false" customWidth="true" hidden="false" outlineLevel="0" max="6395" min="6394" style="1" width="1.71"/>
    <col collapsed="false" customWidth="true" hidden="false" outlineLevel="0" max="6400" min="6400" style="1" width="3.71"/>
    <col collapsed="false" customWidth="true" hidden="true" outlineLevel="0" max="6407" min="6402" style="1" width="13"/>
    <col collapsed="false" customWidth="true" hidden="false" outlineLevel="0" max="6413" min="6408" style="1" width="15.71"/>
    <col collapsed="false" customWidth="true" hidden="true" outlineLevel="0" max="6414" min="6414" style="1" width="13"/>
    <col collapsed="false" customWidth="true" hidden="false" outlineLevel="0" max="6417" min="6415" style="1" width="1.71"/>
    <col collapsed="false" customWidth="true" hidden="false" outlineLevel="0" max="6651" min="6650" style="1" width="1.71"/>
    <col collapsed="false" customWidth="true" hidden="false" outlineLevel="0" max="6656" min="6656" style="1" width="3.71"/>
    <col collapsed="false" customWidth="true" hidden="true" outlineLevel="0" max="6663" min="6658" style="1" width="13"/>
    <col collapsed="false" customWidth="true" hidden="false" outlineLevel="0" max="6669" min="6664" style="1" width="15.71"/>
    <col collapsed="false" customWidth="true" hidden="true" outlineLevel="0" max="6670" min="6670" style="1" width="13"/>
    <col collapsed="false" customWidth="true" hidden="false" outlineLevel="0" max="6673" min="6671" style="1" width="1.71"/>
    <col collapsed="false" customWidth="true" hidden="false" outlineLevel="0" max="6907" min="6906" style="1" width="1.71"/>
    <col collapsed="false" customWidth="true" hidden="false" outlineLevel="0" max="6912" min="6912" style="1" width="3.71"/>
    <col collapsed="false" customWidth="true" hidden="true" outlineLevel="0" max="6919" min="6914" style="1" width="13"/>
    <col collapsed="false" customWidth="true" hidden="false" outlineLevel="0" max="6925" min="6920" style="1" width="15.71"/>
    <col collapsed="false" customWidth="true" hidden="true" outlineLevel="0" max="6926" min="6926" style="1" width="13"/>
    <col collapsed="false" customWidth="true" hidden="false" outlineLevel="0" max="6929" min="6927" style="1" width="1.71"/>
    <col collapsed="false" customWidth="true" hidden="false" outlineLevel="0" max="7163" min="7162" style="1" width="1.71"/>
    <col collapsed="false" customWidth="true" hidden="false" outlineLevel="0" max="7168" min="7168" style="1" width="3.71"/>
    <col collapsed="false" customWidth="true" hidden="true" outlineLevel="0" max="7175" min="7170" style="1" width="13"/>
    <col collapsed="false" customWidth="true" hidden="false" outlineLevel="0" max="7181" min="7176" style="1" width="15.71"/>
    <col collapsed="false" customWidth="true" hidden="true" outlineLevel="0" max="7182" min="7182" style="1" width="13"/>
    <col collapsed="false" customWidth="true" hidden="false" outlineLevel="0" max="7185" min="7183" style="1" width="1.71"/>
    <col collapsed="false" customWidth="true" hidden="false" outlineLevel="0" max="7419" min="7418" style="1" width="1.71"/>
    <col collapsed="false" customWidth="true" hidden="false" outlineLevel="0" max="7424" min="7424" style="1" width="3.71"/>
    <col collapsed="false" customWidth="true" hidden="true" outlineLevel="0" max="7431" min="7426" style="1" width="13"/>
    <col collapsed="false" customWidth="true" hidden="false" outlineLevel="0" max="7437" min="7432" style="1" width="15.71"/>
    <col collapsed="false" customWidth="true" hidden="true" outlineLevel="0" max="7438" min="7438" style="1" width="13"/>
    <col collapsed="false" customWidth="true" hidden="false" outlineLevel="0" max="7441" min="7439" style="1" width="1.71"/>
    <col collapsed="false" customWidth="true" hidden="false" outlineLevel="0" max="7675" min="7674" style="1" width="1.71"/>
    <col collapsed="false" customWidth="true" hidden="false" outlineLevel="0" max="7680" min="7680" style="1" width="3.71"/>
    <col collapsed="false" customWidth="true" hidden="true" outlineLevel="0" max="7687" min="7682" style="1" width="13"/>
    <col collapsed="false" customWidth="true" hidden="false" outlineLevel="0" max="7693" min="7688" style="1" width="15.71"/>
    <col collapsed="false" customWidth="true" hidden="true" outlineLevel="0" max="7694" min="7694" style="1" width="13"/>
    <col collapsed="false" customWidth="true" hidden="false" outlineLevel="0" max="7697" min="7695" style="1" width="1.71"/>
    <col collapsed="false" customWidth="true" hidden="false" outlineLevel="0" max="7931" min="7930" style="1" width="1.71"/>
    <col collapsed="false" customWidth="true" hidden="false" outlineLevel="0" max="7936" min="7936" style="1" width="3.71"/>
    <col collapsed="false" customWidth="true" hidden="true" outlineLevel="0" max="7943" min="7938" style="1" width="13"/>
    <col collapsed="false" customWidth="true" hidden="false" outlineLevel="0" max="7949" min="7944" style="1" width="15.71"/>
    <col collapsed="false" customWidth="true" hidden="true" outlineLevel="0" max="7950" min="7950" style="1" width="13"/>
    <col collapsed="false" customWidth="true" hidden="false" outlineLevel="0" max="7953" min="7951" style="1" width="1.71"/>
    <col collapsed="false" customWidth="true" hidden="false" outlineLevel="0" max="8187" min="8186" style="1" width="1.71"/>
    <col collapsed="false" customWidth="true" hidden="false" outlineLevel="0" max="8192" min="8192" style="1" width="3.71"/>
    <col collapsed="false" customWidth="true" hidden="true" outlineLevel="0" max="8199" min="8194" style="1" width="13"/>
    <col collapsed="false" customWidth="true" hidden="false" outlineLevel="0" max="8205" min="8200" style="1" width="15.71"/>
    <col collapsed="false" customWidth="true" hidden="true" outlineLevel="0" max="8206" min="8206" style="1" width="13"/>
    <col collapsed="false" customWidth="true" hidden="false" outlineLevel="0" max="8209" min="8207" style="1" width="1.71"/>
    <col collapsed="false" customWidth="true" hidden="false" outlineLevel="0" max="8443" min="8442" style="1" width="1.71"/>
    <col collapsed="false" customWidth="true" hidden="false" outlineLevel="0" max="8448" min="8448" style="1" width="3.71"/>
    <col collapsed="false" customWidth="true" hidden="true" outlineLevel="0" max="8455" min="8450" style="1" width="13"/>
    <col collapsed="false" customWidth="true" hidden="false" outlineLevel="0" max="8461" min="8456" style="1" width="15.71"/>
    <col collapsed="false" customWidth="true" hidden="true" outlineLevel="0" max="8462" min="8462" style="1" width="13"/>
    <col collapsed="false" customWidth="true" hidden="false" outlineLevel="0" max="8465" min="8463" style="1" width="1.71"/>
    <col collapsed="false" customWidth="true" hidden="false" outlineLevel="0" max="8699" min="8698" style="1" width="1.71"/>
    <col collapsed="false" customWidth="true" hidden="false" outlineLevel="0" max="8704" min="8704" style="1" width="3.71"/>
    <col collapsed="false" customWidth="true" hidden="true" outlineLevel="0" max="8711" min="8706" style="1" width="13"/>
    <col collapsed="false" customWidth="true" hidden="false" outlineLevel="0" max="8717" min="8712" style="1" width="15.71"/>
    <col collapsed="false" customWidth="true" hidden="true" outlineLevel="0" max="8718" min="8718" style="1" width="13"/>
    <col collapsed="false" customWidth="true" hidden="false" outlineLevel="0" max="8721" min="8719" style="1" width="1.71"/>
    <col collapsed="false" customWidth="true" hidden="false" outlineLevel="0" max="8955" min="8954" style="1" width="1.71"/>
    <col collapsed="false" customWidth="true" hidden="false" outlineLevel="0" max="8960" min="8960" style="1" width="3.71"/>
    <col collapsed="false" customWidth="true" hidden="true" outlineLevel="0" max="8967" min="8962" style="1" width="13"/>
    <col collapsed="false" customWidth="true" hidden="false" outlineLevel="0" max="8973" min="8968" style="1" width="15.71"/>
    <col collapsed="false" customWidth="true" hidden="true" outlineLevel="0" max="8974" min="8974" style="1" width="13"/>
    <col collapsed="false" customWidth="true" hidden="false" outlineLevel="0" max="8977" min="8975" style="1" width="1.71"/>
    <col collapsed="false" customWidth="true" hidden="false" outlineLevel="0" max="9211" min="9210" style="1" width="1.71"/>
    <col collapsed="false" customWidth="true" hidden="false" outlineLevel="0" max="9216" min="9216" style="1" width="3.71"/>
    <col collapsed="false" customWidth="true" hidden="true" outlineLevel="0" max="9223" min="9218" style="1" width="13"/>
    <col collapsed="false" customWidth="true" hidden="false" outlineLevel="0" max="9229" min="9224" style="1" width="15.71"/>
    <col collapsed="false" customWidth="true" hidden="true" outlineLevel="0" max="9230" min="9230" style="1" width="13"/>
    <col collapsed="false" customWidth="true" hidden="false" outlineLevel="0" max="9233" min="9231" style="1" width="1.71"/>
    <col collapsed="false" customWidth="true" hidden="false" outlineLevel="0" max="9467" min="9466" style="1" width="1.71"/>
    <col collapsed="false" customWidth="true" hidden="false" outlineLevel="0" max="9472" min="9472" style="1" width="3.71"/>
    <col collapsed="false" customWidth="true" hidden="true" outlineLevel="0" max="9479" min="9474" style="1" width="13"/>
    <col collapsed="false" customWidth="true" hidden="false" outlineLevel="0" max="9485" min="9480" style="1" width="15.71"/>
    <col collapsed="false" customWidth="true" hidden="true" outlineLevel="0" max="9486" min="9486" style="1" width="13"/>
    <col collapsed="false" customWidth="true" hidden="false" outlineLevel="0" max="9489" min="9487" style="1" width="1.71"/>
    <col collapsed="false" customWidth="true" hidden="false" outlineLevel="0" max="9723" min="9722" style="1" width="1.71"/>
    <col collapsed="false" customWidth="true" hidden="false" outlineLevel="0" max="9728" min="9728" style="1" width="3.71"/>
    <col collapsed="false" customWidth="true" hidden="true" outlineLevel="0" max="9735" min="9730" style="1" width="13"/>
    <col collapsed="false" customWidth="true" hidden="false" outlineLevel="0" max="9741" min="9736" style="1" width="15.71"/>
    <col collapsed="false" customWidth="true" hidden="true" outlineLevel="0" max="9742" min="9742" style="1" width="13"/>
    <col collapsed="false" customWidth="true" hidden="false" outlineLevel="0" max="9745" min="9743" style="1" width="1.71"/>
    <col collapsed="false" customWidth="true" hidden="false" outlineLevel="0" max="9979" min="9978" style="1" width="1.71"/>
    <col collapsed="false" customWidth="true" hidden="false" outlineLevel="0" max="9984" min="9984" style="1" width="3.71"/>
    <col collapsed="false" customWidth="true" hidden="true" outlineLevel="0" max="9991" min="9986" style="1" width="13"/>
    <col collapsed="false" customWidth="true" hidden="false" outlineLevel="0" max="9997" min="9992" style="1" width="15.71"/>
    <col collapsed="false" customWidth="true" hidden="true" outlineLevel="0" max="9998" min="9998" style="1" width="13"/>
    <col collapsed="false" customWidth="true" hidden="false" outlineLevel="0" max="10001" min="9999" style="1" width="1.71"/>
    <col collapsed="false" customWidth="true" hidden="false" outlineLevel="0" max="10235" min="10234" style="1" width="1.71"/>
    <col collapsed="false" customWidth="true" hidden="false" outlineLevel="0" max="10240" min="10240" style="1" width="3.71"/>
    <col collapsed="false" customWidth="true" hidden="true" outlineLevel="0" max="10247" min="10242" style="1" width="13"/>
    <col collapsed="false" customWidth="true" hidden="false" outlineLevel="0" max="10253" min="10248" style="1" width="15.71"/>
    <col collapsed="false" customWidth="true" hidden="true" outlineLevel="0" max="10254" min="10254" style="1" width="13"/>
    <col collapsed="false" customWidth="true" hidden="false" outlineLevel="0" max="10257" min="10255" style="1" width="1.71"/>
    <col collapsed="false" customWidth="true" hidden="false" outlineLevel="0" max="10491" min="10490" style="1" width="1.71"/>
    <col collapsed="false" customWidth="true" hidden="false" outlineLevel="0" max="10496" min="10496" style="1" width="3.71"/>
    <col collapsed="false" customWidth="true" hidden="true" outlineLevel="0" max="10503" min="10498" style="1" width="13"/>
    <col collapsed="false" customWidth="true" hidden="false" outlineLevel="0" max="10509" min="10504" style="1" width="15.71"/>
    <col collapsed="false" customWidth="true" hidden="true" outlineLevel="0" max="10510" min="10510" style="1" width="13"/>
    <col collapsed="false" customWidth="true" hidden="false" outlineLevel="0" max="10513" min="10511" style="1" width="1.71"/>
    <col collapsed="false" customWidth="true" hidden="false" outlineLevel="0" max="10747" min="10746" style="1" width="1.71"/>
    <col collapsed="false" customWidth="true" hidden="false" outlineLevel="0" max="10752" min="10752" style="1" width="3.71"/>
    <col collapsed="false" customWidth="true" hidden="true" outlineLevel="0" max="10759" min="10754" style="1" width="13"/>
    <col collapsed="false" customWidth="true" hidden="false" outlineLevel="0" max="10765" min="10760" style="1" width="15.71"/>
    <col collapsed="false" customWidth="true" hidden="true" outlineLevel="0" max="10766" min="10766" style="1" width="13"/>
    <col collapsed="false" customWidth="true" hidden="false" outlineLevel="0" max="10769" min="10767" style="1" width="1.71"/>
    <col collapsed="false" customWidth="true" hidden="false" outlineLevel="0" max="11003" min="11002" style="1" width="1.71"/>
    <col collapsed="false" customWidth="true" hidden="false" outlineLevel="0" max="11008" min="11008" style="1" width="3.71"/>
    <col collapsed="false" customWidth="true" hidden="true" outlineLevel="0" max="11015" min="11010" style="1" width="13"/>
    <col collapsed="false" customWidth="true" hidden="false" outlineLevel="0" max="11021" min="11016" style="1" width="15.71"/>
    <col collapsed="false" customWidth="true" hidden="true" outlineLevel="0" max="11022" min="11022" style="1" width="13"/>
    <col collapsed="false" customWidth="true" hidden="false" outlineLevel="0" max="11025" min="11023" style="1" width="1.71"/>
    <col collapsed="false" customWidth="true" hidden="false" outlineLevel="0" max="11259" min="11258" style="1" width="1.71"/>
    <col collapsed="false" customWidth="true" hidden="false" outlineLevel="0" max="11264" min="11264" style="1" width="3.71"/>
    <col collapsed="false" customWidth="true" hidden="true" outlineLevel="0" max="11271" min="11266" style="1" width="13"/>
    <col collapsed="false" customWidth="true" hidden="false" outlineLevel="0" max="11277" min="11272" style="1" width="15.71"/>
    <col collapsed="false" customWidth="true" hidden="true" outlineLevel="0" max="11278" min="11278" style="1" width="13"/>
    <col collapsed="false" customWidth="true" hidden="false" outlineLevel="0" max="11281" min="11279" style="1" width="1.71"/>
    <col collapsed="false" customWidth="true" hidden="false" outlineLevel="0" max="11515" min="11514" style="1" width="1.71"/>
    <col collapsed="false" customWidth="true" hidden="false" outlineLevel="0" max="11520" min="11520" style="1" width="3.71"/>
    <col collapsed="false" customWidth="true" hidden="true" outlineLevel="0" max="11527" min="11522" style="1" width="13"/>
    <col collapsed="false" customWidth="true" hidden="false" outlineLevel="0" max="11533" min="11528" style="1" width="15.71"/>
    <col collapsed="false" customWidth="true" hidden="true" outlineLevel="0" max="11534" min="11534" style="1" width="13"/>
    <col collapsed="false" customWidth="true" hidden="false" outlineLevel="0" max="11537" min="11535" style="1" width="1.71"/>
    <col collapsed="false" customWidth="true" hidden="false" outlineLevel="0" max="11771" min="11770" style="1" width="1.71"/>
    <col collapsed="false" customWidth="true" hidden="false" outlineLevel="0" max="11776" min="11776" style="1" width="3.71"/>
    <col collapsed="false" customWidth="true" hidden="true" outlineLevel="0" max="11783" min="11778" style="1" width="13"/>
    <col collapsed="false" customWidth="true" hidden="false" outlineLevel="0" max="11789" min="11784" style="1" width="15.71"/>
    <col collapsed="false" customWidth="true" hidden="true" outlineLevel="0" max="11790" min="11790" style="1" width="13"/>
    <col collapsed="false" customWidth="true" hidden="false" outlineLevel="0" max="11793" min="11791" style="1" width="1.71"/>
    <col collapsed="false" customWidth="true" hidden="false" outlineLevel="0" max="12027" min="12026" style="1" width="1.71"/>
    <col collapsed="false" customWidth="true" hidden="false" outlineLevel="0" max="12032" min="12032" style="1" width="3.71"/>
    <col collapsed="false" customWidth="true" hidden="true" outlineLevel="0" max="12039" min="12034" style="1" width="13"/>
    <col collapsed="false" customWidth="true" hidden="false" outlineLevel="0" max="12045" min="12040" style="1" width="15.71"/>
    <col collapsed="false" customWidth="true" hidden="true" outlineLevel="0" max="12046" min="12046" style="1" width="13"/>
    <col collapsed="false" customWidth="true" hidden="false" outlineLevel="0" max="12049" min="12047" style="1" width="1.71"/>
    <col collapsed="false" customWidth="true" hidden="false" outlineLevel="0" max="12283" min="12282" style="1" width="1.71"/>
    <col collapsed="false" customWidth="true" hidden="false" outlineLevel="0" max="12288" min="12288" style="1" width="3.71"/>
    <col collapsed="false" customWidth="true" hidden="true" outlineLevel="0" max="12295" min="12290" style="1" width="13"/>
    <col collapsed="false" customWidth="true" hidden="false" outlineLevel="0" max="12301" min="12296" style="1" width="15.71"/>
    <col collapsed="false" customWidth="true" hidden="true" outlineLevel="0" max="12302" min="12302" style="1" width="13"/>
    <col collapsed="false" customWidth="true" hidden="false" outlineLevel="0" max="12305" min="12303" style="1" width="1.71"/>
    <col collapsed="false" customWidth="true" hidden="false" outlineLevel="0" max="12539" min="12538" style="1" width="1.71"/>
    <col collapsed="false" customWidth="true" hidden="false" outlineLevel="0" max="12544" min="12544" style="1" width="3.71"/>
    <col collapsed="false" customWidth="true" hidden="true" outlineLevel="0" max="12551" min="12546" style="1" width="13"/>
    <col collapsed="false" customWidth="true" hidden="false" outlineLevel="0" max="12557" min="12552" style="1" width="15.71"/>
    <col collapsed="false" customWidth="true" hidden="true" outlineLevel="0" max="12558" min="12558" style="1" width="13"/>
    <col collapsed="false" customWidth="true" hidden="false" outlineLevel="0" max="12561" min="12559" style="1" width="1.71"/>
    <col collapsed="false" customWidth="true" hidden="false" outlineLevel="0" max="12795" min="12794" style="1" width="1.71"/>
    <col collapsed="false" customWidth="true" hidden="false" outlineLevel="0" max="12800" min="12800" style="1" width="3.71"/>
    <col collapsed="false" customWidth="true" hidden="true" outlineLevel="0" max="12807" min="12802" style="1" width="13"/>
    <col collapsed="false" customWidth="true" hidden="false" outlineLevel="0" max="12813" min="12808" style="1" width="15.71"/>
    <col collapsed="false" customWidth="true" hidden="true" outlineLevel="0" max="12814" min="12814" style="1" width="13"/>
    <col collapsed="false" customWidth="true" hidden="false" outlineLevel="0" max="12817" min="12815" style="1" width="1.71"/>
    <col collapsed="false" customWidth="true" hidden="false" outlineLevel="0" max="13051" min="13050" style="1" width="1.71"/>
    <col collapsed="false" customWidth="true" hidden="false" outlineLevel="0" max="13056" min="13056" style="1" width="3.71"/>
    <col collapsed="false" customWidth="true" hidden="true" outlineLevel="0" max="13063" min="13058" style="1" width="13"/>
    <col collapsed="false" customWidth="true" hidden="false" outlineLevel="0" max="13069" min="13064" style="1" width="15.71"/>
    <col collapsed="false" customWidth="true" hidden="true" outlineLevel="0" max="13070" min="13070" style="1" width="13"/>
    <col collapsed="false" customWidth="true" hidden="false" outlineLevel="0" max="13073" min="13071" style="1" width="1.71"/>
    <col collapsed="false" customWidth="true" hidden="false" outlineLevel="0" max="13307" min="13306" style="1" width="1.71"/>
    <col collapsed="false" customWidth="true" hidden="false" outlineLevel="0" max="13312" min="13312" style="1" width="3.71"/>
    <col collapsed="false" customWidth="true" hidden="true" outlineLevel="0" max="13319" min="13314" style="1" width="13"/>
    <col collapsed="false" customWidth="true" hidden="false" outlineLevel="0" max="13325" min="13320" style="1" width="15.71"/>
    <col collapsed="false" customWidth="true" hidden="true" outlineLevel="0" max="13326" min="13326" style="1" width="13"/>
    <col collapsed="false" customWidth="true" hidden="false" outlineLevel="0" max="13329" min="13327" style="1" width="1.71"/>
    <col collapsed="false" customWidth="true" hidden="false" outlineLevel="0" max="13563" min="13562" style="1" width="1.71"/>
    <col collapsed="false" customWidth="true" hidden="false" outlineLevel="0" max="13568" min="13568" style="1" width="3.71"/>
    <col collapsed="false" customWidth="true" hidden="true" outlineLevel="0" max="13575" min="13570" style="1" width="13"/>
    <col collapsed="false" customWidth="true" hidden="false" outlineLevel="0" max="13581" min="13576" style="1" width="15.71"/>
    <col collapsed="false" customWidth="true" hidden="true" outlineLevel="0" max="13582" min="13582" style="1" width="13"/>
    <col collapsed="false" customWidth="true" hidden="false" outlineLevel="0" max="13585" min="13583" style="1" width="1.71"/>
    <col collapsed="false" customWidth="true" hidden="false" outlineLevel="0" max="13819" min="13818" style="1" width="1.71"/>
    <col collapsed="false" customWidth="true" hidden="false" outlineLevel="0" max="13824" min="13824" style="1" width="3.71"/>
    <col collapsed="false" customWidth="true" hidden="true" outlineLevel="0" max="13831" min="13826" style="1" width="13"/>
    <col collapsed="false" customWidth="true" hidden="false" outlineLevel="0" max="13837" min="13832" style="1" width="15.71"/>
    <col collapsed="false" customWidth="true" hidden="true" outlineLevel="0" max="13838" min="13838" style="1" width="13"/>
    <col collapsed="false" customWidth="true" hidden="false" outlineLevel="0" max="13841" min="13839" style="1" width="1.71"/>
    <col collapsed="false" customWidth="true" hidden="false" outlineLevel="0" max="14075" min="14074" style="1" width="1.71"/>
    <col collapsed="false" customWidth="true" hidden="false" outlineLevel="0" max="14080" min="14080" style="1" width="3.71"/>
    <col collapsed="false" customWidth="true" hidden="true" outlineLevel="0" max="14087" min="14082" style="1" width="13"/>
    <col collapsed="false" customWidth="true" hidden="false" outlineLevel="0" max="14093" min="14088" style="1" width="15.71"/>
    <col collapsed="false" customWidth="true" hidden="true" outlineLevel="0" max="14094" min="14094" style="1" width="13"/>
    <col collapsed="false" customWidth="true" hidden="false" outlineLevel="0" max="14097" min="14095" style="1" width="1.71"/>
    <col collapsed="false" customWidth="true" hidden="false" outlineLevel="0" max="14331" min="14330" style="1" width="1.71"/>
    <col collapsed="false" customWidth="true" hidden="false" outlineLevel="0" max="14336" min="14336" style="1" width="3.71"/>
    <col collapsed="false" customWidth="true" hidden="true" outlineLevel="0" max="14343" min="14338" style="1" width="13"/>
    <col collapsed="false" customWidth="true" hidden="false" outlineLevel="0" max="14349" min="14344" style="1" width="15.71"/>
    <col collapsed="false" customWidth="true" hidden="true" outlineLevel="0" max="14350" min="14350" style="1" width="13"/>
    <col collapsed="false" customWidth="true" hidden="false" outlineLevel="0" max="14353" min="14351" style="1" width="1.71"/>
    <col collapsed="false" customWidth="true" hidden="false" outlineLevel="0" max="14587" min="14586" style="1" width="1.71"/>
    <col collapsed="false" customWidth="true" hidden="false" outlineLevel="0" max="14592" min="14592" style="1" width="3.71"/>
    <col collapsed="false" customWidth="true" hidden="true" outlineLevel="0" max="14599" min="14594" style="1" width="13"/>
    <col collapsed="false" customWidth="true" hidden="false" outlineLevel="0" max="14605" min="14600" style="1" width="15.71"/>
    <col collapsed="false" customWidth="true" hidden="true" outlineLevel="0" max="14606" min="14606" style="1" width="13"/>
    <col collapsed="false" customWidth="true" hidden="false" outlineLevel="0" max="14609" min="14607" style="1" width="1.71"/>
    <col collapsed="false" customWidth="true" hidden="false" outlineLevel="0" max="14843" min="14842" style="1" width="1.71"/>
    <col collapsed="false" customWidth="true" hidden="false" outlineLevel="0" max="14848" min="14848" style="1" width="3.71"/>
    <col collapsed="false" customWidth="true" hidden="true" outlineLevel="0" max="14855" min="14850" style="1" width="13"/>
    <col collapsed="false" customWidth="true" hidden="false" outlineLevel="0" max="14861" min="14856" style="1" width="15.71"/>
    <col collapsed="false" customWidth="true" hidden="true" outlineLevel="0" max="14862" min="14862" style="1" width="13"/>
    <col collapsed="false" customWidth="true" hidden="false" outlineLevel="0" max="14865" min="14863" style="1" width="1.71"/>
    <col collapsed="false" customWidth="true" hidden="false" outlineLevel="0" max="15099" min="15098" style="1" width="1.71"/>
    <col collapsed="false" customWidth="true" hidden="false" outlineLevel="0" max="15104" min="15104" style="1" width="3.71"/>
    <col collapsed="false" customWidth="true" hidden="true" outlineLevel="0" max="15111" min="15106" style="1" width="13"/>
    <col collapsed="false" customWidth="true" hidden="false" outlineLevel="0" max="15117" min="15112" style="1" width="15.71"/>
    <col collapsed="false" customWidth="true" hidden="true" outlineLevel="0" max="15118" min="15118" style="1" width="13"/>
    <col collapsed="false" customWidth="true" hidden="false" outlineLevel="0" max="15121" min="15119" style="1" width="1.71"/>
    <col collapsed="false" customWidth="true" hidden="false" outlineLevel="0" max="15355" min="15354" style="1" width="1.71"/>
    <col collapsed="false" customWidth="true" hidden="false" outlineLevel="0" max="15360" min="15360" style="1" width="3.71"/>
    <col collapsed="false" customWidth="true" hidden="true" outlineLevel="0" max="15367" min="15362" style="1" width="13"/>
    <col collapsed="false" customWidth="true" hidden="false" outlineLevel="0" max="15373" min="15368" style="1" width="15.71"/>
    <col collapsed="false" customWidth="true" hidden="true" outlineLevel="0" max="15374" min="15374" style="1" width="13"/>
    <col collapsed="false" customWidth="true" hidden="false" outlineLevel="0" max="15377" min="15375" style="1" width="1.71"/>
    <col collapsed="false" customWidth="true" hidden="false" outlineLevel="0" max="15611" min="15610" style="1" width="1.71"/>
    <col collapsed="false" customWidth="true" hidden="false" outlineLevel="0" max="15616" min="15616" style="1" width="3.71"/>
    <col collapsed="false" customWidth="true" hidden="true" outlineLevel="0" max="15623" min="15618" style="1" width="13"/>
    <col collapsed="false" customWidth="true" hidden="false" outlineLevel="0" max="15629" min="15624" style="1" width="15.71"/>
    <col collapsed="false" customWidth="true" hidden="true" outlineLevel="0" max="15630" min="15630" style="1" width="13"/>
    <col collapsed="false" customWidth="true" hidden="false" outlineLevel="0" max="15633" min="15631" style="1" width="1.71"/>
    <col collapsed="false" customWidth="true" hidden="false" outlineLevel="0" max="15867" min="15866" style="1" width="1.71"/>
    <col collapsed="false" customWidth="true" hidden="false" outlineLevel="0" max="15872" min="15872" style="1" width="3.71"/>
    <col collapsed="false" customWidth="true" hidden="true" outlineLevel="0" max="15879" min="15874" style="1" width="13"/>
    <col collapsed="false" customWidth="true" hidden="false" outlineLevel="0" max="15885" min="15880" style="1" width="15.71"/>
    <col collapsed="false" customWidth="true" hidden="true" outlineLevel="0" max="15886" min="15886" style="1" width="13"/>
    <col collapsed="false" customWidth="true" hidden="false" outlineLevel="0" max="15889" min="15887" style="1" width="1.71"/>
    <col collapsed="false" customWidth="true" hidden="false" outlineLevel="0" max="16123" min="16122" style="1" width="1.71"/>
    <col collapsed="false" customWidth="true" hidden="false" outlineLevel="0" max="16128" min="16128" style="1" width="3.71"/>
    <col collapsed="false" customWidth="true" hidden="true" outlineLevel="0" max="16135" min="16130" style="1" width="13"/>
    <col collapsed="false" customWidth="true" hidden="false" outlineLevel="0" max="16141" min="16136" style="1" width="15.71"/>
    <col collapsed="false" customWidth="true" hidden="true" outlineLevel="0" max="16142" min="16142" style="1" width="13"/>
    <col collapsed="false" customWidth="true" hidden="false" outlineLevel="0" max="16145" min="16143" style="1" width="1.71"/>
  </cols>
  <sheetData>
    <row r="2" customFormat="false" ht="12.75" hidden="false" customHeight="true" outlineLevel="0" collapsed="false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customFormat="false" ht="12.75" hidden="false" customHeight="true" outlineLevel="0" collapsed="false">
      <c r="C3" s="5" t="s">
        <v>1</v>
      </c>
    </row>
    <row r="4" customFormat="false" ht="12.75" hidden="false" customHeight="true" outlineLevel="0" collapsed="false">
      <c r="I4" s="6" t="s">
        <v>2</v>
      </c>
      <c r="J4" s="7" t="s">
        <v>3</v>
      </c>
      <c r="K4" s="7"/>
      <c r="L4" s="7"/>
      <c r="M4" s="7"/>
      <c r="N4" s="7"/>
    </row>
    <row r="6" customFormat="false" ht="12.75" hidden="false" customHeight="true" outlineLevel="0" collapsed="false">
      <c r="I6" s="8" t="n">
        <v>2022</v>
      </c>
      <c r="J6" s="9" t="n">
        <f aca="false">I6+1</f>
        <v>2023</v>
      </c>
      <c r="K6" s="9" t="n">
        <f aca="false">J6+1</f>
        <v>2024</v>
      </c>
      <c r="L6" s="9" t="n">
        <f aca="false">K6+1</f>
        <v>2025</v>
      </c>
      <c r="M6" s="9" t="n">
        <f aca="false">L6+1</f>
        <v>2026</v>
      </c>
      <c r="N6" s="9" t="n">
        <f aca="false">M6+1</f>
        <v>2027</v>
      </c>
    </row>
    <row r="7" customFormat="false" ht="3" hidden="false" customHeight="true" outlineLevel="0" collapsed="false">
      <c r="C7" s="10"/>
      <c r="D7" s="10"/>
      <c r="E7" s="10"/>
      <c r="F7" s="10"/>
      <c r="G7" s="10"/>
      <c r="H7" s="10"/>
      <c r="I7" s="11"/>
      <c r="J7" s="11"/>
      <c r="K7" s="11"/>
      <c r="L7" s="11"/>
      <c r="M7" s="11"/>
      <c r="N7" s="11"/>
    </row>
    <row r="8" customFormat="false" ht="3" hidden="false" customHeight="true" outlineLevel="0" collapsed="false">
      <c r="I8" s="12"/>
      <c r="J8" s="12"/>
      <c r="K8" s="12"/>
      <c r="L8" s="12"/>
      <c r="M8" s="12"/>
      <c r="N8" s="12"/>
    </row>
    <row r="9" customFormat="false" ht="12.75" hidden="false" customHeight="true" outlineLevel="0" collapsed="false">
      <c r="I9" s="12"/>
      <c r="J9" s="12"/>
      <c r="K9" s="12"/>
      <c r="L9" s="12"/>
      <c r="M9" s="12"/>
      <c r="N9" s="12"/>
    </row>
    <row r="10" customFormat="false" ht="12.75" hidden="false" customHeight="true" outlineLevel="0" collapsed="false">
      <c r="C10" s="13" t="s">
        <v>4</v>
      </c>
      <c r="D10" s="13"/>
      <c r="E10" s="13"/>
      <c r="F10" s="13"/>
      <c r="G10" s="13"/>
      <c r="H10" s="13"/>
      <c r="I10" s="14" t="n">
        <v>51761</v>
      </c>
      <c r="J10" s="15" t="n">
        <f aca="false">I10*(1+J32)</f>
        <v>56937.1</v>
      </c>
      <c r="K10" s="15" t="n">
        <f aca="false">J10*(1+K32)</f>
        <v>62630.81</v>
      </c>
      <c r="L10" s="15" t="n">
        <f aca="false">K10*(1+L32)</f>
        <v>68893.891</v>
      </c>
      <c r="M10" s="15" t="n">
        <f aca="false">L10*(1+M32)</f>
        <v>75783.2801</v>
      </c>
      <c r="N10" s="15" t="n">
        <f aca="false">M10*(1+N32)</f>
        <v>83361.60811</v>
      </c>
    </row>
    <row r="11" customFormat="false" ht="12.75" hidden="false" customHeight="true" outlineLevel="0" collapsed="false">
      <c r="C11" s="1" t="s">
        <v>5</v>
      </c>
      <c r="I11" s="16" t="n">
        <v>40121</v>
      </c>
      <c r="J11" s="17" t="n">
        <f aca="false">J10*J33</f>
        <v>43841.567</v>
      </c>
      <c r="K11" s="17" t="n">
        <f aca="false">K10*K33</f>
        <v>48069.146675</v>
      </c>
      <c r="L11" s="17" t="n">
        <f aca="false">L10*L33</f>
        <v>52703.826615</v>
      </c>
      <c r="M11" s="17" t="n">
        <f aca="false">M10*M33</f>
        <v>57784.75107625</v>
      </c>
      <c r="N11" s="17" t="n">
        <f aca="false">N10*N33</f>
        <v>63354.8221636</v>
      </c>
    </row>
    <row r="12" customFormat="false" ht="12.75" hidden="false" customHeight="true" outlineLevel="0" collapsed="false">
      <c r="C12" s="13" t="s">
        <v>6</v>
      </c>
      <c r="D12" s="13"/>
      <c r="E12" s="13"/>
      <c r="F12" s="13"/>
      <c r="G12" s="13"/>
      <c r="H12" s="13"/>
      <c r="I12" s="18" t="n">
        <f aca="false">I10-I11</f>
        <v>11640</v>
      </c>
      <c r="J12" s="18" t="n">
        <f aca="false">J10-J11</f>
        <v>13095.533</v>
      </c>
      <c r="K12" s="18" t="n">
        <f aca="false">K10-K11</f>
        <v>14561.663325</v>
      </c>
      <c r="L12" s="18" t="n">
        <f aca="false">L10-L11</f>
        <v>16190.064385</v>
      </c>
      <c r="M12" s="18" t="n">
        <f aca="false">M10-M11</f>
        <v>17998.52902375</v>
      </c>
      <c r="N12" s="18" t="n">
        <f aca="false">N10-N11</f>
        <v>20006.7859464</v>
      </c>
    </row>
    <row r="13" customFormat="false" ht="12.75" hidden="false" customHeight="true" outlineLevel="0" collapsed="false">
      <c r="C13" s="19" t="s">
        <v>7</v>
      </c>
      <c r="I13" s="20" t="n">
        <f aca="false">I12/I10</f>
        <v>0.224879735708352</v>
      </c>
      <c r="J13" s="20" t="n">
        <f aca="false">J12/J10</f>
        <v>0.23</v>
      </c>
      <c r="K13" s="20" t="n">
        <f aca="false">K12/K10</f>
        <v>0.2325</v>
      </c>
      <c r="L13" s="20" t="n">
        <f aca="false">L12/L10</f>
        <v>0.235</v>
      </c>
      <c r="M13" s="20" t="n">
        <f aca="false">M12/M10</f>
        <v>0.2375</v>
      </c>
      <c r="N13" s="20" t="n">
        <f aca="false">N12/N10</f>
        <v>0.24</v>
      </c>
    </row>
    <row r="15" customFormat="false" ht="12.75" hidden="false" customHeight="true" outlineLevel="0" collapsed="false">
      <c r="C15" s="19" t="s">
        <v>8</v>
      </c>
      <c r="I15" s="16" t="n">
        <v>8635</v>
      </c>
      <c r="J15" s="17" t="n">
        <f aca="false">J10*J34</f>
        <v>9394.6215</v>
      </c>
      <c r="K15" s="17" t="n">
        <f aca="false">K10*K34</f>
        <v>10255.7951375</v>
      </c>
      <c r="L15" s="17" t="n">
        <f aca="false">L10*L34</f>
        <v>11195.2572875</v>
      </c>
      <c r="M15" s="17" t="n">
        <f aca="false">M10*M34</f>
        <v>12220.053916125</v>
      </c>
      <c r="N15" s="17" t="n">
        <f aca="false">N10*N34</f>
        <v>13337.8572976</v>
      </c>
    </row>
    <row r="16" customFormat="false" ht="12.75" hidden="false" customHeight="true" outlineLevel="0" collapsed="false">
      <c r="C16" s="13" t="s">
        <v>9</v>
      </c>
      <c r="D16" s="13"/>
      <c r="E16" s="13"/>
      <c r="F16" s="13"/>
      <c r="G16" s="13"/>
      <c r="H16" s="13"/>
      <c r="I16" s="18" t="n">
        <f aca="false">I12-I15</f>
        <v>3005</v>
      </c>
      <c r="J16" s="18" t="n">
        <f aca="false">J12-J15</f>
        <v>3700.9115</v>
      </c>
      <c r="K16" s="18" t="n">
        <f aca="false">K12-K15</f>
        <v>4305.86818750001</v>
      </c>
      <c r="L16" s="18" t="n">
        <f aca="false">L12-L15</f>
        <v>4994.8070975</v>
      </c>
      <c r="M16" s="18" t="n">
        <f aca="false">M12-M15</f>
        <v>5778.475107625</v>
      </c>
      <c r="N16" s="18" t="n">
        <f aca="false">N12-N15</f>
        <v>6668.9286488</v>
      </c>
    </row>
    <row r="17" customFormat="false" ht="12.75" hidden="false" customHeight="true" outlineLevel="0" collapsed="false">
      <c r="C17" s="19" t="s">
        <v>7</v>
      </c>
      <c r="I17" s="20" t="n">
        <f aca="false">I16/I10</f>
        <v>0.0580552925948108</v>
      </c>
      <c r="J17" s="20" t="n">
        <f aca="false">J16/J10</f>
        <v>0.065</v>
      </c>
      <c r="K17" s="20" t="n">
        <f aca="false">K16/K10</f>
        <v>0.0687500000000001</v>
      </c>
      <c r="L17" s="20" t="n">
        <f aca="false">L16/L10</f>
        <v>0.0725</v>
      </c>
      <c r="M17" s="20" t="n">
        <f aca="false">M16/M10</f>
        <v>0.07625</v>
      </c>
      <c r="N17" s="20" t="n">
        <f aca="false">N16/N10</f>
        <v>0.08</v>
      </c>
    </row>
    <row r="18" customFormat="false" ht="12.75" hidden="false" customHeight="true" outlineLevel="0" collapsed="false">
      <c r="I18" s="21"/>
    </row>
    <row r="19" customFormat="false" ht="12.75" hidden="false" customHeight="true" outlineLevel="0" collapsed="false">
      <c r="C19" s="19" t="s">
        <v>10</v>
      </c>
      <c r="I19" s="16" t="n">
        <v>787</v>
      </c>
      <c r="J19" s="17" t="n">
        <f aca="false">J10*J35</f>
        <v>854.0565</v>
      </c>
      <c r="K19" s="17" t="n">
        <f aca="false">K10*K35</f>
        <v>939.46215</v>
      </c>
      <c r="L19" s="17" t="n">
        <f aca="false">L10*L35</f>
        <v>1033.408365</v>
      </c>
      <c r="M19" s="17" t="n">
        <f aca="false">M10*M35</f>
        <v>1136.7492015</v>
      </c>
      <c r="N19" s="17" t="n">
        <f aca="false">N10*N35</f>
        <v>1250.42412165</v>
      </c>
    </row>
    <row r="20" customFormat="false" ht="12.75" hidden="false" customHeight="true" outlineLevel="0" collapsed="false">
      <c r="C20" s="19" t="s">
        <v>11</v>
      </c>
      <c r="I20" s="17" t="n">
        <f aca="false">I36</f>
        <v>82</v>
      </c>
      <c r="J20" s="17" t="n">
        <f aca="false">J36</f>
        <v>100</v>
      </c>
      <c r="K20" s="17" t="n">
        <f aca="false">K36</f>
        <v>100</v>
      </c>
      <c r="L20" s="17" t="n">
        <f aca="false">L36</f>
        <v>100</v>
      </c>
      <c r="M20" s="17" t="n">
        <f aca="false">M36</f>
        <v>100</v>
      </c>
      <c r="N20" s="17" t="n">
        <f aca="false">N36</f>
        <v>100</v>
      </c>
    </row>
    <row r="21" customFormat="false" ht="12.75" hidden="false" customHeight="true" outlineLevel="0" collapsed="false">
      <c r="C21" s="13" t="s">
        <v>12</v>
      </c>
      <c r="D21" s="13"/>
      <c r="E21" s="13"/>
      <c r="F21" s="13"/>
      <c r="G21" s="13"/>
      <c r="H21" s="13"/>
      <c r="I21" s="18" t="n">
        <f aca="false">I16-I19-I20</f>
        <v>2136</v>
      </c>
      <c r="J21" s="18" t="n">
        <f aca="false">J16-J19-J20</f>
        <v>2746.855</v>
      </c>
      <c r="K21" s="18" t="n">
        <f aca="false">K16-K19-K20</f>
        <v>3266.40603750001</v>
      </c>
      <c r="L21" s="18" t="n">
        <f aca="false">L16-L19-L20</f>
        <v>3861.3987325</v>
      </c>
      <c r="M21" s="18" t="n">
        <f aca="false">M16-M19-M20</f>
        <v>4541.725906125</v>
      </c>
      <c r="N21" s="18" t="n">
        <f aca="false">N16-N19-N20</f>
        <v>5318.50452715</v>
      </c>
    </row>
    <row r="22" customFormat="false" ht="12.75" hidden="false" customHeight="true" outlineLevel="0" collapsed="false">
      <c r="C22" s="19" t="s">
        <v>7</v>
      </c>
      <c r="I22" s="20" t="n">
        <f aca="false">I21/I10</f>
        <v>0.041266590676378</v>
      </c>
      <c r="J22" s="20" t="n">
        <f aca="false">J21/J10</f>
        <v>0.0482436759160548</v>
      </c>
      <c r="K22" s="20" t="n">
        <f aca="false">K21/K10</f>
        <v>0.052153341741868</v>
      </c>
      <c r="L22" s="20" t="n">
        <f aca="false">L21/L10</f>
        <v>0.0560484924926072</v>
      </c>
      <c r="M22" s="20" t="n">
        <f aca="false">M21/M10</f>
        <v>0.059930447720552</v>
      </c>
      <c r="N22" s="20" t="n">
        <f aca="false">N21/N10</f>
        <v>0.0638004070186836</v>
      </c>
    </row>
    <row r="23" customFormat="false" ht="12.75" hidden="false" customHeight="true" outlineLevel="0" collapsed="false">
      <c r="C23" s="19"/>
      <c r="I23" s="22"/>
      <c r="J23" s="22"/>
      <c r="K23" s="22"/>
      <c r="L23" s="22"/>
      <c r="M23" s="22"/>
      <c r="N23" s="22"/>
    </row>
    <row r="24" customFormat="false" ht="12.75" hidden="false" customHeight="true" outlineLevel="0" collapsed="false">
      <c r="C24" s="19" t="s">
        <v>13</v>
      </c>
      <c r="I24" s="17" t="n">
        <f aca="false">I37</f>
        <v>25</v>
      </c>
      <c r="J24" s="17" t="n">
        <f aca="false">J37</f>
        <v>25</v>
      </c>
      <c r="K24" s="17" t="n">
        <f aca="false">K37</f>
        <v>25</v>
      </c>
      <c r="L24" s="17" t="n">
        <f aca="false">L37</f>
        <v>25</v>
      </c>
      <c r="M24" s="17" t="n">
        <f aca="false">M37</f>
        <v>25</v>
      </c>
      <c r="N24" s="17" t="n">
        <f aca="false">N37</f>
        <v>25</v>
      </c>
    </row>
    <row r="25" customFormat="false" ht="12.75" hidden="false" customHeight="true" outlineLevel="0" collapsed="false">
      <c r="C25" s="19" t="s">
        <v>14</v>
      </c>
      <c r="I25" s="18" t="n">
        <f aca="false">I21-I24</f>
        <v>2111</v>
      </c>
      <c r="J25" s="18" t="n">
        <f aca="false">J21-J24</f>
        <v>2721.855</v>
      </c>
      <c r="K25" s="18" t="n">
        <f aca="false">K21-K24</f>
        <v>3241.40603750001</v>
      </c>
      <c r="L25" s="18" t="n">
        <f aca="false">L21-L24</f>
        <v>3836.3987325</v>
      </c>
      <c r="M25" s="18" t="n">
        <f aca="false">M21-M24</f>
        <v>4516.725906125</v>
      </c>
      <c r="N25" s="18" t="n">
        <f aca="false">N21-N24</f>
        <v>5293.50452715</v>
      </c>
    </row>
    <row r="26" customFormat="false" ht="12.75" hidden="false" customHeight="true" outlineLevel="0" collapsed="false">
      <c r="C26" s="19" t="s">
        <v>15</v>
      </c>
      <c r="F26" s="5" t="s">
        <v>16</v>
      </c>
      <c r="H26" s="23" t="n">
        <v>0.2</v>
      </c>
      <c r="I26" s="17" t="n">
        <f aca="false">I25*$H$26</f>
        <v>422.2</v>
      </c>
      <c r="J26" s="17" t="n">
        <f aca="false">J25*$H$26</f>
        <v>544.371</v>
      </c>
      <c r="K26" s="17" t="n">
        <f aca="false">K25*$H$26</f>
        <v>648.281207500001</v>
      </c>
      <c r="L26" s="17" t="n">
        <f aca="false">L25*$H$26</f>
        <v>767.2797465</v>
      </c>
      <c r="M26" s="17" t="n">
        <f aca="false">M25*$H$26</f>
        <v>903.345181225001</v>
      </c>
      <c r="N26" s="17" t="n">
        <f aca="false">N25*$H$26</f>
        <v>1058.70090543</v>
      </c>
    </row>
    <row r="27" customFormat="false" ht="12.75" hidden="false" customHeight="true" outlineLevel="0" collapsed="false">
      <c r="C27" s="13" t="s">
        <v>17</v>
      </c>
      <c r="D27" s="13"/>
      <c r="E27" s="13"/>
      <c r="F27" s="13"/>
      <c r="G27" s="13"/>
      <c r="H27" s="13"/>
      <c r="I27" s="18" t="n">
        <f aca="false">I25-I26</f>
        <v>1688.8</v>
      </c>
      <c r="J27" s="18" t="n">
        <f aca="false">J25-J26</f>
        <v>2177.484</v>
      </c>
      <c r="K27" s="18" t="n">
        <f aca="false">K25-K26</f>
        <v>2593.12483</v>
      </c>
      <c r="L27" s="18" t="n">
        <f aca="false">L25-L26</f>
        <v>3069.118986</v>
      </c>
      <c r="M27" s="18" t="n">
        <f aca="false">M25-M26</f>
        <v>3613.3807249</v>
      </c>
      <c r="N27" s="18" t="n">
        <f aca="false">N25-N26</f>
        <v>4234.80362172</v>
      </c>
    </row>
    <row r="28" customFormat="false" ht="12.75" hidden="false" customHeight="true" outlineLevel="0" collapsed="false">
      <c r="C28" s="19"/>
      <c r="I28" s="22"/>
      <c r="J28" s="22"/>
      <c r="K28" s="22"/>
      <c r="L28" s="22"/>
      <c r="M28" s="22"/>
      <c r="N28" s="22"/>
    </row>
    <row r="29" customFormat="false" ht="12.75" hidden="false" customHeight="true" outlineLevel="0" collapsed="false">
      <c r="C29" s="19"/>
      <c r="I29" s="22"/>
      <c r="J29" s="22"/>
      <c r="K29" s="22"/>
      <c r="L29" s="22"/>
      <c r="M29" s="22"/>
      <c r="N29" s="22"/>
    </row>
    <row r="30" customFormat="false" ht="12.75" hidden="false" customHeight="true" outlineLevel="0" collapsed="false">
      <c r="I30" s="24"/>
    </row>
    <row r="31" customFormat="false" ht="12.75" hidden="false" customHeight="true" outlineLevel="0" collapsed="false">
      <c r="C31" s="25" t="s">
        <v>18</v>
      </c>
      <c r="D31" s="26"/>
      <c r="E31" s="26"/>
      <c r="F31" s="26"/>
      <c r="G31" s="26"/>
      <c r="H31" s="26"/>
      <c r="I31" s="27"/>
      <c r="J31" s="26"/>
      <c r="K31" s="26"/>
      <c r="L31" s="26"/>
      <c r="M31" s="26"/>
      <c r="N31" s="26"/>
    </row>
    <row r="32" customFormat="false" ht="12.75" hidden="false" customHeight="true" outlineLevel="0" collapsed="false">
      <c r="C32" s="19" t="s">
        <v>19</v>
      </c>
      <c r="I32" s="28"/>
      <c r="J32" s="28" t="n">
        <v>0.1</v>
      </c>
      <c r="K32" s="28" t="n">
        <v>0.1</v>
      </c>
      <c r="L32" s="28" t="n">
        <v>0.1</v>
      </c>
      <c r="M32" s="28" t="n">
        <v>0.1</v>
      </c>
      <c r="N32" s="28" t="n">
        <v>0.1</v>
      </c>
    </row>
    <row r="33" customFormat="false" ht="12.75" hidden="false" customHeight="true" outlineLevel="0" collapsed="false">
      <c r="C33" s="1" t="s">
        <v>20</v>
      </c>
      <c r="I33" s="20" t="n">
        <f aca="false">I11/I10</f>
        <v>0.775120264291648</v>
      </c>
      <c r="J33" s="29" t="n">
        <v>0.77</v>
      </c>
      <c r="K33" s="29" t="n">
        <v>0.7675</v>
      </c>
      <c r="L33" s="29" t="n">
        <v>0.765</v>
      </c>
      <c r="M33" s="29" t="n">
        <v>0.7625</v>
      </c>
      <c r="N33" s="29" t="n">
        <v>0.76</v>
      </c>
    </row>
    <row r="34" customFormat="false" ht="12.75" hidden="false" customHeight="true" outlineLevel="0" collapsed="false">
      <c r="C34" s="19" t="s">
        <v>21</v>
      </c>
      <c r="I34" s="20" t="n">
        <f aca="false">I15/I10</f>
        <v>0.166824443113541</v>
      </c>
      <c r="J34" s="28" t="n">
        <v>0.165</v>
      </c>
      <c r="K34" s="28" t="n">
        <v>0.16375</v>
      </c>
      <c r="L34" s="28" t="n">
        <v>0.1625</v>
      </c>
      <c r="M34" s="28" t="n">
        <v>0.16125</v>
      </c>
      <c r="N34" s="28" t="n">
        <v>0.16</v>
      </c>
    </row>
    <row r="35" customFormat="false" ht="12.75" hidden="false" customHeight="true" outlineLevel="0" collapsed="false">
      <c r="C35" s="19" t="s">
        <v>22</v>
      </c>
      <c r="I35" s="20" t="n">
        <f aca="false">I19/I10</f>
        <v>0.0152044975947142</v>
      </c>
      <c r="J35" s="28" t="n">
        <v>0.015</v>
      </c>
      <c r="K35" s="28" t="n">
        <v>0.015</v>
      </c>
      <c r="L35" s="28" t="n">
        <v>0.015</v>
      </c>
      <c r="M35" s="28" t="n">
        <v>0.015</v>
      </c>
      <c r="N35" s="28" t="n">
        <v>0.015</v>
      </c>
    </row>
    <row r="36" customFormat="false" ht="12.75" hidden="false" customHeight="true" outlineLevel="0" collapsed="false">
      <c r="C36" s="19" t="s">
        <v>23</v>
      </c>
      <c r="I36" s="30" t="n">
        <v>82</v>
      </c>
      <c r="J36" s="16" t="n">
        <v>100</v>
      </c>
      <c r="K36" s="16" t="n">
        <v>100</v>
      </c>
      <c r="L36" s="16" t="n">
        <v>100</v>
      </c>
      <c r="M36" s="16" t="n">
        <v>100</v>
      </c>
      <c r="N36" s="16" t="n">
        <v>100</v>
      </c>
    </row>
    <row r="37" customFormat="false" ht="12.75" hidden="false" customHeight="true" outlineLevel="0" collapsed="false">
      <c r="C37" s="19" t="s">
        <v>24</v>
      </c>
      <c r="I37" s="30" t="n">
        <v>25</v>
      </c>
      <c r="J37" s="16" t="n">
        <v>25</v>
      </c>
      <c r="K37" s="16" t="n">
        <v>25</v>
      </c>
      <c r="L37" s="16" t="n">
        <v>25</v>
      </c>
      <c r="M37" s="16" t="n">
        <v>25</v>
      </c>
      <c r="N37" s="16" t="n">
        <v>25</v>
      </c>
    </row>
    <row r="38" customFormat="false" ht="12.75" hidden="false" customHeight="true" outlineLevel="0" collapsed="false">
      <c r="I38" s="24"/>
    </row>
    <row r="40" customFormat="false" ht="12.75" hidden="false" customHeight="true" outlineLevel="0" collapsed="false">
      <c r="C40" s="31" t="s">
        <v>25</v>
      </c>
      <c r="I40" s="32"/>
    </row>
    <row r="41" customFormat="false" ht="12.75" hidden="false" customHeight="true" outlineLevel="0" collapsed="false">
      <c r="C41" s="31" t="s">
        <v>26</v>
      </c>
    </row>
    <row r="42" customFormat="false" ht="12.75" hidden="false" customHeight="true" outlineLevel="0" collapsed="false">
      <c r="C42" s="31" t="s">
        <v>27</v>
      </c>
    </row>
    <row r="43" customFormat="false" ht="12.75" hidden="false" customHeight="true" outlineLevel="0" collapsed="false">
      <c r="C43" s="31" t="s">
        <v>28</v>
      </c>
    </row>
    <row r="44" customFormat="false" ht="12.75" hidden="false" customHeight="true" outlineLevel="0" collapsed="false">
      <c r="C44" s="31" t="s">
        <v>29</v>
      </c>
    </row>
    <row r="45" customFormat="false" ht="12.75" hidden="false" customHeight="true" outlineLevel="0" collapsed="false">
      <c r="C45" s="31" t="s">
        <v>30</v>
      </c>
    </row>
  </sheetData>
  <mergeCells count="1">
    <mergeCell ref="J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2022-12-05T13:45:07Z</dcterms:created>
  <dc:creator>Josh</dc:creator>
  <dc:description/>
  <dc:language>en-US</dc:language>
  <cp:lastModifiedBy>Josh</cp:lastModifiedBy>
  <dcterms:modified xsi:type="dcterms:W3CDTF">2026-09-19T12:40:52Z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